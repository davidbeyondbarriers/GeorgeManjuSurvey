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Francis\OneDrive\Desktop\Chatbot_George&amp;Manju\"/>
    </mc:Choice>
  </mc:AlternateContent>
  <xr:revisionPtr revIDLastSave="0" documentId="8_{0D48C72A-1E0E-447A-9FAB-2DB3EE37F286}" xr6:coauthVersionLast="47" xr6:coauthVersionMax="47" xr10:uidLastSave="{00000000-0000-0000-0000-000000000000}"/>
  <bookViews>
    <workbookView xWindow="-110" yWindow="-110" windowWidth="19420" windowHeight="10300" activeTab="1" xr2:uid="{BFEBEDCC-2211-4104-A970-CE2F33BAAA20}"/>
  </bookViews>
  <sheets>
    <sheet name="ZipData" sheetId="2" r:id="rId1"/>
    <sheet name="Survey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12" i="3"/>
  <c r="B11" i="3"/>
  <c r="B36" i="3"/>
  <c r="B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Francis</author>
  </authors>
  <commentList>
    <comment ref="B5" authorId="0" shapeId="0" xr:uid="{B1F09A3D-5381-45F2-95AE-E3AE264F74D9}">
      <text>
        <r>
          <rPr>
            <b/>
            <sz val="9"/>
            <color indexed="81"/>
            <rFont val="Tahoma"/>
            <charset val="1"/>
          </rPr>
          <t>David Francis:</t>
        </r>
        <r>
          <rPr>
            <sz val="9"/>
            <color indexed="81"/>
            <rFont val="Tahoma"/>
            <charset val="1"/>
          </rPr>
          <t xml:space="preserve">
Enter your assigned Participant ID (e.g. P-001). This keeps your response anonymous.</t>
        </r>
      </text>
    </comment>
    <comment ref="B8" authorId="0" shapeId="0" xr:uid="{A8AD58D0-C91D-4627-B920-74994E29EBDE}">
      <text>
        <r>
          <rPr>
            <b/>
            <sz val="9"/>
            <color indexed="81"/>
            <rFont val="Tahoma"/>
            <charset val="1"/>
          </rPr>
          <t>David Francis:</t>
        </r>
        <r>
          <rPr>
            <sz val="9"/>
            <color indexed="81"/>
            <rFont val="Tahoma"/>
            <charset val="1"/>
          </rPr>
          <t xml:space="preserve">
Enter your age in years (18–100).</t>
        </r>
      </text>
    </comment>
    <comment ref="B9" authorId="0" shapeId="0" xr:uid="{04816531-FEBD-4395-9193-209DC6FC592F}">
      <text>
        <r>
          <rPr>
            <b/>
            <sz val="9"/>
            <color indexed="81"/>
            <rFont val="Tahoma"/>
            <charset val="1"/>
          </rPr>
          <t>David Francis:</t>
        </r>
        <r>
          <rPr>
            <sz val="9"/>
            <color indexed="81"/>
            <rFont val="Tahoma"/>
            <charset val="1"/>
          </rPr>
          <t xml:space="preserve">
Select the option that best describes you.</t>
        </r>
      </text>
    </comment>
    <comment ref="B10" authorId="0" shapeId="0" xr:uid="{584C7103-88E8-4D9D-860F-915288126B13}">
      <text>
        <r>
          <rPr>
            <b/>
            <sz val="9"/>
            <color indexed="81"/>
            <rFont val="Tahoma"/>
            <charset val="1"/>
          </rPr>
          <t>David Francis:</t>
        </r>
        <r>
          <rPr>
            <sz val="9"/>
            <color indexed="81"/>
            <rFont val="Tahoma"/>
            <charset val="1"/>
          </rPr>
          <t xml:space="preserve">
Enter your 5-digit ZIP code. City and State will auto-fill.</t>
        </r>
      </text>
    </comment>
    <comment ref="B15" authorId="0" shapeId="0" xr:uid="{CE1A961E-10E9-43E5-A250-8F3A3DB04B76}">
      <text>
        <r>
          <rPr>
            <b/>
            <sz val="9"/>
            <color indexed="81"/>
            <rFont val="Tahoma"/>
            <charset val="1"/>
          </rPr>
          <t>David Francis:</t>
        </r>
        <r>
          <rPr>
            <sz val="9"/>
            <color indexed="81"/>
            <rFont val="Tahoma"/>
            <charset val="1"/>
          </rPr>
          <t xml:space="preserve">
Select Yes or No.</t>
        </r>
      </text>
    </comment>
    <comment ref="B16" authorId="0" shapeId="0" xr:uid="{3F0B454E-C621-4EEA-BD9E-E49DE4FEA4C8}">
      <text>
        <r>
          <rPr>
            <b/>
            <sz val="9"/>
            <color indexed="81"/>
            <rFont val="Tahoma"/>
            <charset val="1"/>
          </rPr>
          <t>David Francis:</t>
        </r>
        <r>
          <rPr>
            <sz val="9"/>
            <color indexed="81"/>
            <rFont val="Tahoma"/>
            <charset val="1"/>
          </rPr>
          <t xml:space="preserve">
Select the type that best describes your experience.</t>
        </r>
      </text>
    </comment>
    <comment ref="B17" authorId="0" shapeId="0" xr:uid="{831DA4A8-1AFB-427D-8FCC-6DC351008368}">
      <text>
        <r>
          <rPr>
            <b/>
            <sz val="9"/>
            <color indexed="81"/>
            <rFont val="Tahoma"/>
            <charset val="1"/>
          </rPr>
          <t>David Francis:</t>
        </r>
        <r>
          <rPr>
            <sz val="9"/>
            <color indexed="81"/>
            <rFont val="Tahoma"/>
            <charset val="1"/>
          </rPr>
          <t xml:space="preserve">
Enter the year the event occurred (e.g. 2018).</t>
        </r>
      </text>
    </comment>
    <comment ref="B18" authorId="0" shapeId="0" xr:uid="{B433F3BB-D842-43C5-895E-A544BE7A0248}">
      <text>
        <r>
          <rPr>
            <b/>
            <sz val="9"/>
            <color indexed="81"/>
            <rFont val="Tahoma"/>
            <charset val="1"/>
          </rPr>
          <t>David Francis:</t>
        </r>
        <r>
          <rPr>
            <sz val="9"/>
            <color indexed="81"/>
            <rFont val="Tahoma"/>
            <charset val="1"/>
          </rPr>
          <t xml:space="preserve">
Select whether you have received or sought professional mental health support.</t>
        </r>
      </text>
    </comment>
    <comment ref="B19" authorId="0" shapeId="0" xr:uid="{7205E171-8DBB-401C-AA0C-88F77E22081B}">
      <text>
        <r>
          <rPr>
            <b/>
            <sz val="9"/>
            <color indexed="81"/>
            <rFont val="Tahoma"/>
            <charset val="1"/>
          </rPr>
          <t>David Francis:</t>
        </r>
        <r>
          <rPr>
            <sz val="9"/>
            <color indexed="81"/>
            <rFont val="Tahoma"/>
            <charset val="1"/>
          </rPr>
          <t xml:space="preserve">
Rate your current level of distress: 1 = None, 10 = Extreme.</t>
        </r>
      </text>
    </comment>
    <comment ref="B35" authorId="0" shapeId="0" xr:uid="{6069A33F-ECCD-4845-BD2B-C343C9798C82}">
      <text>
        <r>
          <rPr>
            <b/>
            <sz val="9"/>
            <color indexed="81"/>
            <rFont val="Tahoma"/>
            <charset val="1"/>
          </rPr>
          <t>David Francis:</t>
        </r>
        <r>
          <rPr>
            <sz val="9"/>
            <color indexed="81"/>
            <rFont val="Tahoma"/>
            <charset val="1"/>
          </rPr>
          <t xml:space="preserve">
Select Yes to confirm your consent.</t>
        </r>
      </text>
    </comment>
  </commentList>
</comments>
</file>

<file path=xl/sharedStrings.xml><?xml version="1.0" encoding="utf-8"?>
<sst xmlns="http://schemas.openxmlformats.org/spreadsheetml/2006/main" count="179" uniqueCount="93">
  <si>
    <t>City</t>
  </si>
  <si>
    <t>State</t>
  </si>
  <si>
    <t>TRAUMA EXPERIENCE SURVEY</t>
  </si>
  <si>
    <t>Confidential Research Survey  |  All responses are anonymous and protected.</t>
  </si>
  <si>
    <t>SECTION 1 — PARTICIPANT INFORMATION</t>
  </si>
  <si>
    <t>Participant ID</t>
  </si>
  <si>
    <t>Format: P-###  (e.g. P-001)</t>
  </si>
  <si>
    <t>Date Completed</t>
  </si>
  <si>
    <t>Auto-filled</t>
  </si>
  <si>
    <t>Age</t>
  </si>
  <si>
    <t>Must be 18 or older</t>
  </si>
  <si>
    <t>Gender Identity</t>
  </si>
  <si>
    <t>Select from dropdown ↓</t>
  </si>
  <si>
    <t>Auto-filled from ZIP</t>
  </si>
  <si>
    <t>SECTION 2 — TRAUMA BACKGROUND</t>
  </si>
  <si>
    <t>Have you experienced a traumatic event?</t>
  </si>
  <si>
    <t>Type of trauma experienced</t>
  </si>
  <si>
    <t>Approximate year of event</t>
  </si>
  <si>
    <t>4-digit year</t>
  </si>
  <si>
    <t>Have you sought professional support?</t>
  </si>
  <si>
    <t>Current level of distress (1–10)</t>
  </si>
  <si>
    <t>Scale: 1 (none) → 10 (extreme)</t>
  </si>
  <si>
    <t>SECTION 3 — YOUR EXPERIENCE IN YOUR OWN WORDS</t>
  </si>
  <si>
    <t>Please share as much or as little as you feel comfortable with. There are no right or wrong answers. Your words are valuable.</t>
  </si>
  <si>
    <t>✏️  Describe your experience here — share as much or as little as you feel comfortable with.</t>
  </si>
  <si>
    <t>SECTION 4 — CONSENT &amp; SUBMISSION</t>
  </si>
  <si>
    <t>I consent to my responses being used anonymously for research purposes.</t>
  </si>
  <si>
    <t>Select Yes / No ↓</t>
  </si>
  <si>
    <t>Completion Status</t>
  </si>
  <si>
    <t>⚠️  Crisis Resources: If you are in distress, please contact the SAMHSA Helpline: 1-800-662-4357 or Crisis Text Line: Text HOME to 741741</t>
  </si>
  <si>
    <t>PIN</t>
  </si>
  <si>
    <t>State / UT</t>
  </si>
  <si>
    <t>New Delhi</t>
  </si>
  <si>
    <t>Delhi</t>
  </si>
  <si>
    <t>Mumbai</t>
  </si>
  <si>
    <t>Maharashtra</t>
  </si>
  <si>
    <t>Kolkata</t>
  </si>
  <si>
    <t>West Bengal</t>
  </si>
  <si>
    <t>Chennai</t>
  </si>
  <si>
    <t>Tamil Nadu</t>
  </si>
  <si>
    <t>Hyderabad</t>
  </si>
  <si>
    <t>Telangana</t>
  </si>
  <si>
    <t>Bengaluru</t>
  </si>
  <si>
    <t>Karnataka</t>
  </si>
  <si>
    <t>Pune</t>
  </si>
  <si>
    <t>Ahmedabad</t>
  </si>
  <si>
    <t>Gujarat</t>
  </si>
  <si>
    <t>Jaipur</t>
  </si>
  <si>
    <t>Rajasthan</t>
  </si>
  <si>
    <t>Lucknow</t>
  </si>
  <si>
    <t>Uttar Pradesh</t>
  </si>
  <si>
    <t>Kanpur</t>
  </si>
  <si>
    <t>Agra</t>
  </si>
  <si>
    <t>Varanasi</t>
  </si>
  <si>
    <t>Patna</t>
  </si>
  <si>
    <t>Bihar</t>
  </si>
  <si>
    <t>Bhubaneswar</t>
  </si>
  <si>
    <t>Odisha</t>
  </si>
  <si>
    <t>Nagpur</t>
  </si>
  <si>
    <t>Indore</t>
  </si>
  <si>
    <t>Madhya Pradesh</t>
  </si>
  <si>
    <t>Bhopal</t>
  </si>
  <si>
    <t>Chandigarh</t>
  </si>
  <si>
    <t>Ludhiana</t>
  </si>
  <si>
    <t>Punjab</t>
  </si>
  <si>
    <t>Amritsar</t>
  </si>
  <si>
    <t>Dehradun</t>
  </si>
  <si>
    <t>Uttarakhand</t>
  </si>
  <si>
    <t>Guwahati</t>
  </si>
  <si>
    <t>Assam</t>
  </si>
  <si>
    <t>Kochi</t>
  </si>
  <si>
    <t>Kerala</t>
  </si>
  <si>
    <t>Thiruvananthapuram</t>
  </si>
  <si>
    <t>Visakhapatnam</t>
  </si>
  <si>
    <t>Andhra Pradesh</t>
  </si>
  <si>
    <t>Vijayawada</t>
  </si>
  <si>
    <t>Coimbatore</t>
  </si>
  <si>
    <t>Madurai</t>
  </si>
  <si>
    <t>Surat</t>
  </si>
  <si>
    <t>Vadodara</t>
  </si>
  <si>
    <t>Ranchi</t>
  </si>
  <si>
    <t>Jharkhand</t>
  </si>
  <si>
    <t>Jamshedpur</t>
  </si>
  <si>
    <t>Salt Lake City (Kolkata)</t>
  </si>
  <si>
    <t>Noida</t>
  </si>
  <si>
    <t>Gurugram</t>
  </si>
  <si>
    <t>Haryana</t>
  </si>
  <si>
    <t>Sonipat</t>
  </si>
  <si>
    <t>Electronic City (Bengaluru)</t>
  </si>
  <si>
    <t>PIN Code</t>
  </si>
  <si>
    <t>6-digit PIN (City &amp; State auto-fill below)</t>
  </si>
  <si>
    <t>Time of Completion</t>
  </si>
  <si>
    <t>Auto-filled on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</si>
</sst>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m/dd/yyyy\ hh:mm\ AM/PM"/>
  </numFmts>
  <fonts count="14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0"/>
      <color rgb="FFFFFFFF"/>
      <name val="Aptos Narrow"/>
      <family val="2"/>
      <scheme val="minor"/>
    </font>
    <font>
      <b/>
      <sz val="11"/>
      <color rgb="FF1A2E44"/>
      <name val="Aptos Narrow"/>
      <family val="2"/>
      <scheme val="minor"/>
    </font>
    <font>
      <sz val="11"/>
      <color rgb="FF0000FF"/>
      <name val="Aptos Narrow"/>
      <family val="2"/>
      <scheme val="minor"/>
    </font>
    <font>
      <i/>
      <sz val="9"/>
      <color rgb="FF888888"/>
      <name val="Aptos Narrow"/>
      <family val="2"/>
      <scheme val="minor"/>
    </font>
    <font>
      <sz val="11"/>
      <color rgb="FF555555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8000"/>
      <name val="Aptos Narrow"/>
      <family val="2"/>
      <scheme val="minor"/>
    </font>
    <font>
      <b/>
      <i/>
      <sz val="9"/>
      <color rgb="FF555555"/>
      <name val="Aptos Narrow"/>
      <family val="2"/>
      <scheme val="minor"/>
    </font>
    <font>
      <i/>
      <sz val="11"/>
      <color rgb="FFAAAAAA"/>
      <name val="Aptos Narrow"/>
      <family val="2"/>
      <scheme val="minor"/>
    </font>
    <font>
      <i/>
      <sz val="9"/>
      <color rgb="FFAA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1A2E44"/>
        <bgColor indexed="64"/>
      </patternFill>
    </fill>
    <fill>
      <patternFill patternType="solid">
        <fgColor rgb="FF2C4A6E"/>
        <bgColor indexed="64"/>
      </patternFill>
    </fill>
    <fill>
      <patternFill patternType="solid">
        <fgColor rgb="FF3D6B9E"/>
        <bgColor indexed="64"/>
      </patternFill>
    </fill>
    <fill>
      <patternFill patternType="solid">
        <fgColor rgb="FFEAF0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0F7EE"/>
        <bgColor indexed="64"/>
      </patternFill>
    </fill>
    <fill>
      <patternFill patternType="solid">
        <fgColor rgb="FFFDFCFB"/>
        <bgColor indexed="64"/>
      </patternFill>
    </fill>
    <fill>
      <patternFill patternType="solid">
        <fgColor rgb="FFFFFBE6"/>
        <bgColor indexed="64"/>
      </patternFill>
    </fill>
    <fill>
      <patternFill patternType="solid">
        <fgColor rgb="FFFFF5F5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3D6B9E"/>
      </top>
      <bottom/>
      <diagonal/>
    </border>
    <border>
      <left style="thin">
        <color rgb="FF3D6B9E"/>
      </left>
      <right style="thin">
        <color rgb="FF3D6B9E"/>
      </right>
      <top style="thin">
        <color rgb="FF3D6B9E"/>
      </top>
      <bottom style="thin">
        <color rgb="FF3D6B9E"/>
      </bottom>
      <diagonal/>
    </border>
    <border>
      <left style="thin">
        <color rgb="FF3D6B9E"/>
      </left>
      <right style="thin">
        <color rgb="FF3D6B9E"/>
      </right>
      <top style="thin">
        <color rgb="FF3D6B9E"/>
      </top>
      <bottom/>
      <diagonal/>
    </border>
    <border>
      <left/>
      <right/>
      <top/>
      <bottom style="thin">
        <color rgb="FF3D6B9E"/>
      </bottom>
      <diagonal/>
    </border>
    <border>
      <left style="thin">
        <color rgb="FF3D6B9E"/>
      </left>
      <right/>
      <top style="thin">
        <color rgb="FF3D6B9E"/>
      </top>
      <bottom/>
      <diagonal/>
    </border>
    <border>
      <left style="thin">
        <color rgb="FF3D6B9E"/>
      </left>
      <right/>
      <top/>
      <bottom/>
      <diagonal/>
    </border>
    <border>
      <left style="thin">
        <color rgb="FF3D6B9E"/>
      </left>
      <right/>
      <top/>
      <bottom style="thin">
        <color rgb="FF3D6B9E"/>
      </bottom>
      <diagonal/>
    </border>
    <border>
      <left/>
      <right style="thin">
        <color rgb="FF3D6B9E"/>
      </right>
      <top style="thin">
        <color rgb="FF3D6B9E"/>
      </top>
      <bottom/>
      <diagonal/>
    </border>
    <border>
      <left/>
      <right style="thin">
        <color rgb="FF3D6B9E"/>
      </right>
      <top/>
      <bottom/>
      <diagonal/>
    </border>
    <border>
      <left/>
      <right style="thin">
        <color rgb="FF3D6B9E"/>
      </right>
      <top/>
      <bottom style="thin">
        <color rgb="FF3D6B9E"/>
      </bottom>
      <diagonal/>
    </border>
    <border>
      <left style="medium">
        <color rgb="FF3D6B9E"/>
      </left>
      <right style="medium">
        <color rgb="FF3D6B9E"/>
      </right>
      <top style="medium">
        <color rgb="FF3D6B9E"/>
      </top>
      <bottom style="medium">
        <color rgb="FF3D6B9E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/>
    <xf numFmtId="0" fontId="3" fillId="4" borderId="0" xfId="0" applyFont="1" applyFill="1" applyAlignment="1">
      <alignment horizontal="center"/>
    </xf>
    <xf numFmtId="0" fontId="0" fillId="4" borderId="0" xfId="0" applyFill="1"/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0" fillId="5" borderId="0" xfId="0" applyFill="1"/>
    <xf numFmtId="0" fontId="4" fillId="6" borderId="0" xfId="0" applyFont="1" applyFill="1"/>
    <xf numFmtId="0" fontId="5" fillId="7" borderId="2" xfId="0" applyFont="1" applyFill="1" applyBorder="1"/>
    <xf numFmtId="0" fontId="6" fillId="0" borderId="0" xfId="0" applyFont="1"/>
    <xf numFmtId="164" fontId="7" fillId="8" borderId="0" xfId="0" applyNumberFormat="1" applyFont="1" applyFill="1"/>
    <xf numFmtId="0" fontId="4" fillId="6" borderId="0" xfId="0" applyFont="1" applyFill="1" applyBorder="1"/>
    <xf numFmtId="0" fontId="5" fillId="7" borderId="3" xfId="0" applyFont="1" applyFill="1" applyBorder="1"/>
    <xf numFmtId="0" fontId="6" fillId="0" borderId="0" xfId="0" applyFont="1" applyFill="1" applyBorder="1"/>
    <xf numFmtId="0" fontId="10" fillId="9" borderId="2" xfId="0" applyFont="1" applyFill="1" applyBorder="1"/>
    <xf numFmtId="0" fontId="10" fillId="9" borderId="3" xfId="0" applyFont="1" applyFill="1" applyBorder="1"/>
    <xf numFmtId="0" fontId="1" fillId="5" borderId="0" xfId="0" applyFont="1" applyFill="1" applyBorder="1"/>
    <xf numFmtId="0" fontId="11" fillId="6" borderId="0" xfId="0" applyFont="1" applyFill="1" applyBorder="1"/>
    <xf numFmtId="0" fontId="12" fillId="10" borderId="1" xfId="0" applyFont="1" applyFill="1" applyBorder="1" applyAlignment="1">
      <alignment horizontal="left" vertical="top" wrapText="1"/>
    </xf>
    <xf numFmtId="0" fontId="12" fillId="10" borderId="0" xfId="0" applyFont="1" applyFill="1" applyBorder="1" applyAlignment="1">
      <alignment horizontal="left" vertical="top" wrapText="1"/>
    </xf>
    <xf numFmtId="0" fontId="12" fillId="10" borderId="4" xfId="0" applyFont="1" applyFill="1" applyBorder="1" applyAlignment="1">
      <alignment horizontal="left" vertical="top" wrapText="1"/>
    </xf>
    <xf numFmtId="0" fontId="12" fillId="10" borderId="5" xfId="0" applyFont="1" applyFill="1" applyBorder="1" applyAlignment="1">
      <alignment horizontal="left" vertical="top" wrapText="1"/>
    </xf>
    <xf numFmtId="0" fontId="12" fillId="10" borderId="6" xfId="0" applyFont="1" applyFill="1" applyBorder="1" applyAlignment="1">
      <alignment horizontal="left" vertical="top" wrapText="1"/>
    </xf>
    <xf numFmtId="0" fontId="12" fillId="10" borderId="7" xfId="0" applyFont="1" applyFill="1" applyBorder="1" applyAlignment="1">
      <alignment horizontal="left" vertical="top" wrapText="1"/>
    </xf>
    <xf numFmtId="0" fontId="12" fillId="10" borderId="8" xfId="0" applyFont="1" applyFill="1" applyBorder="1" applyAlignment="1">
      <alignment horizontal="left" vertical="top" wrapText="1"/>
    </xf>
    <xf numFmtId="0" fontId="12" fillId="10" borderId="9" xfId="0" applyFont="1" applyFill="1" applyBorder="1" applyAlignment="1">
      <alignment horizontal="left" vertical="top" wrapText="1"/>
    </xf>
    <xf numFmtId="0" fontId="12" fillId="10" borderId="10" xfId="0" applyFont="1" applyFill="1" applyBorder="1" applyAlignment="1">
      <alignment horizontal="left" vertical="top" wrapText="1"/>
    </xf>
    <xf numFmtId="0" fontId="4" fillId="11" borderId="11" xfId="0" applyFont="1" applyFill="1" applyBorder="1"/>
    <xf numFmtId="0" fontId="13" fillId="12" borderId="0" xfId="0" applyFont="1" applyFill="1"/>
    <xf numFmtId="0" fontId="0" fillId="12" borderId="0" xfId="0" applyFill="1"/>
    <xf numFmtId="165" fontId="7" fillId="8" borderId="0" xfId="0" applyNumberFormat="1" applyFont="1" applyFill="1"/>
  </cellXfs>
  <cellStyles count="1">
    <cellStyle name="Normal" xfId="0" builtinId="0"/>
  </cellStyles>
  <dxfs count="2">
    <dxf>
      <font>
        <color rgb="FF7B4F00"/>
      </font>
      <fill>
        <patternFill patternType="solid">
          <fgColor indexed="64"/>
          <bgColor rgb="FFFFF8E1"/>
        </patternFill>
      </fill>
    </dxf>
    <dxf>
      <font>
        <color rgb="FF1A6B1A"/>
      </font>
      <fill>
        <patternFill patternType="solid">
          <fgColor indexed="64"/>
          <bgColor rgb="FFE8F5E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0CE012A-C9A4-4CA3-9D46-034ED521CD84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d9a7a3c9-16d1-41a5-a9c3-5deb781894a0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F59E1-35BE-4F71-ABE2-5B01A17B7D8A}">
  <sheetPr>
    <tabColor rgb="FF3D6B9E"/>
  </sheetPr>
  <dimension ref="A1:C70"/>
  <sheetViews>
    <sheetView workbookViewId="0"/>
  </sheetViews>
  <sheetFormatPr defaultRowHeight="14.5" x14ac:dyDescent="0.35"/>
  <cols>
    <col min="1" max="1" width="6.81640625" bestFit="1" customWidth="1"/>
    <col min="2" max="2" width="22.54296875" bestFit="1" customWidth="1"/>
    <col min="3" max="3" width="14.1796875" bestFit="1" customWidth="1"/>
  </cols>
  <sheetData>
    <row r="1" spans="1:3" x14ac:dyDescent="0.35">
      <c r="A1" s="1" t="s">
        <v>30</v>
      </c>
      <c r="B1" s="1" t="s">
        <v>0</v>
      </c>
      <c r="C1" s="1" t="s">
        <v>31</v>
      </c>
    </row>
    <row r="2" spans="1:3" x14ac:dyDescent="0.35">
      <c r="A2">
        <v>110001</v>
      </c>
      <c r="B2" t="s">
        <v>32</v>
      </c>
      <c r="C2" t="s">
        <v>33</v>
      </c>
    </row>
    <row r="3" spans="1:3" x14ac:dyDescent="0.35">
      <c r="A3">
        <v>110002</v>
      </c>
      <c r="B3" t="s">
        <v>32</v>
      </c>
      <c r="C3" t="s">
        <v>33</v>
      </c>
    </row>
    <row r="4" spans="1:3" x14ac:dyDescent="0.35">
      <c r="A4">
        <v>110003</v>
      </c>
      <c r="B4" t="s">
        <v>32</v>
      </c>
      <c r="C4" t="s">
        <v>33</v>
      </c>
    </row>
    <row r="5" spans="1:3" x14ac:dyDescent="0.35">
      <c r="A5">
        <v>110011</v>
      </c>
      <c r="B5" t="s">
        <v>32</v>
      </c>
      <c r="C5" t="s">
        <v>33</v>
      </c>
    </row>
    <row r="6" spans="1:3" x14ac:dyDescent="0.35">
      <c r="A6">
        <v>110020</v>
      </c>
      <c r="B6" t="s">
        <v>32</v>
      </c>
      <c r="C6" t="s">
        <v>33</v>
      </c>
    </row>
    <row r="7" spans="1:3" x14ac:dyDescent="0.35">
      <c r="A7">
        <v>400001</v>
      </c>
      <c r="B7" t="s">
        <v>34</v>
      </c>
      <c r="C7" t="s">
        <v>35</v>
      </c>
    </row>
    <row r="8" spans="1:3" x14ac:dyDescent="0.35">
      <c r="A8">
        <v>400002</v>
      </c>
      <c r="B8" t="s">
        <v>34</v>
      </c>
      <c r="C8" t="s">
        <v>35</v>
      </c>
    </row>
    <row r="9" spans="1:3" x14ac:dyDescent="0.35">
      <c r="A9">
        <v>400050</v>
      </c>
      <c r="B9" t="s">
        <v>34</v>
      </c>
      <c r="C9" t="s">
        <v>35</v>
      </c>
    </row>
    <row r="10" spans="1:3" x14ac:dyDescent="0.35">
      <c r="A10">
        <v>400051</v>
      </c>
      <c r="B10" t="s">
        <v>34</v>
      </c>
      <c r="C10" t="s">
        <v>35</v>
      </c>
    </row>
    <row r="11" spans="1:3" x14ac:dyDescent="0.35">
      <c r="A11">
        <v>400069</v>
      </c>
      <c r="B11" t="s">
        <v>34</v>
      </c>
      <c r="C11" t="s">
        <v>35</v>
      </c>
    </row>
    <row r="12" spans="1:3" x14ac:dyDescent="0.35">
      <c r="A12">
        <v>700001</v>
      </c>
      <c r="B12" t="s">
        <v>36</v>
      </c>
      <c r="C12" t="s">
        <v>37</v>
      </c>
    </row>
    <row r="13" spans="1:3" x14ac:dyDescent="0.35">
      <c r="A13">
        <v>700002</v>
      </c>
      <c r="B13" t="s">
        <v>36</v>
      </c>
      <c r="C13" t="s">
        <v>37</v>
      </c>
    </row>
    <row r="14" spans="1:3" x14ac:dyDescent="0.35">
      <c r="A14">
        <v>700013</v>
      </c>
      <c r="B14" t="s">
        <v>36</v>
      </c>
      <c r="C14" t="s">
        <v>37</v>
      </c>
    </row>
    <row r="15" spans="1:3" x14ac:dyDescent="0.35">
      <c r="A15">
        <v>700091</v>
      </c>
      <c r="B15" t="s">
        <v>36</v>
      </c>
      <c r="C15" t="s">
        <v>37</v>
      </c>
    </row>
    <row r="16" spans="1:3" x14ac:dyDescent="0.35">
      <c r="A16">
        <v>600001</v>
      </c>
      <c r="B16" t="s">
        <v>38</v>
      </c>
      <c r="C16" t="s">
        <v>39</v>
      </c>
    </row>
    <row r="17" spans="1:3" x14ac:dyDescent="0.35">
      <c r="A17">
        <v>600002</v>
      </c>
      <c r="B17" t="s">
        <v>38</v>
      </c>
      <c r="C17" t="s">
        <v>39</v>
      </c>
    </row>
    <row r="18" spans="1:3" x14ac:dyDescent="0.35">
      <c r="A18">
        <v>600017</v>
      </c>
      <c r="B18" t="s">
        <v>38</v>
      </c>
      <c r="C18" t="s">
        <v>39</v>
      </c>
    </row>
    <row r="19" spans="1:3" x14ac:dyDescent="0.35">
      <c r="A19">
        <v>600040</v>
      </c>
      <c r="B19" t="s">
        <v>38</v>
      </c>
      <c r="C19" t="s">
        <v>39</v>
      </c>
    </row>
    <row r="20" spans="1:3" x14ac:dyDescent="0.35">
      <c r="A20">
        <v>500001</v>
      </c>
      <c r="B20" t="s">
        <v>40</v>
      </c>
      <c r="C20" t="s">
        <v>41</v>
      </c>
    </row>
    <row r="21" spans="1:3" x14ac:dyDescent="0.35">
      <c r="A21">
        <v>500002</v>
      </c>
      <c r="B21" t="s">
        <v>40</v>
      </c>
      <c r="C21" t="s">
        <v>41</v>
      </c>
    </row>
    <row r="22" spans="1:3" x14ac:dyDescent="0.35">
      <c r="A22">
        <v>500016</v>
      </c>
      <c r="B22" t="s">
        <v>40</v>
      </c>
      <c r="C22" t="s">
        <v>41</v>
      </c>
    </row>
    <row r="23" spans="1:3" x14ac:dyDescent="0.35">
      <c r="A23">
        <v>500081</v>
      </c>
      <c r="B23" t="s">
        <v>40</v>
      </c>
      <c r="C23" t="s">
        <v>41</v>
      </c>
    </row>
    <row r="24" spans="1:3" x14ac:dyDescent="0.35">
      <c r="A24">
        <v>560001</v>
      </c>
      <c r="B24" t="s">
        <v>42</v>
      </c>
      <c r="C24" t="s">
        <v>43</v>
      </c>
    </row>
    <row r="25" spans="1:3" x14ac:dyDescent="0.35">
      <c r="A25">
        <v>560002</v>
      </c>
      <c r="B25" t="s">
        <v>42</v>
      </c>
      <c r="C25" t="s">
        <v>43</v>
      </c>
    </row>
    <row r="26" spans="1:3" x14ac:dyDescent="0.35">
      <c r="A26">
        <v>560008</v>
      </c>
      <c r="B26" t="s">
        <v>42</v>
      </c>
      <c r="C26" t="s">
        <v>43</v>
      </c>
    </row>
    <row r="27" spans="1:3" x14ac:dyDescent="0.35">
      <c r="A27">
        <v>560034</v>
      </c>
      <c r="B27" t="s">
        <v>42</v>
      </c>
      <c r="C27" t="s">
        <v>43</v>
      </c>
    </row>
    <row r="28" spans="1:3" x14ac:dyDescent="0.35">
      <c r="A28">
        <v>411001</v>
      </c>
      <c r="B28" t="s">
        <v>44</v>
      </c>
      <c r="C28" t="s">
        <v>35</v>
      </c>
    </row>
    <row r="29" spans="1:3" x14ac:dyDescent="0.35">
      <c r="A29">
        <v>411002</v>
      </c>
      <c r="B29" t="s">
        <v>44</v>
      </c>
      <c r="C29" t="s">
        <v>35</v>
      </c>
    </row>
    <row r="30" spans="1:3" x14ac:dyDescent="0.35">
      <c r="A30">
        <v>411057</v>
      </c>
      <c r="B30" t="s">
        <v>44</v>
      </c>
      <c r="C30" t="s">
        <v>35</v>
      </c>
    </row>
    <row r="31" spans="1:3" x14ac:dyDescent="0.35">
      <c r="A31">
        <v>380001</v>
      </c>
      <c r="B31" t="s">
        <v>45</v>
      </c>
      <c r="C31" t="s">
        <v>46</v>
      </c>
    </row>
    <row r="32" spans="1:3" x14ac:dyDescent="0.35">
      <c r="A32">
        <v>380006</v>
      </c>
      <c r="B32" t="s">
        <v>45</v>
      </c>
      <c r="C32" t="s">
        <v>46</v>
      </c>
    </row>
    <row r="33" spans="1:3" x14ac:dyDescent="0.35">
      <c r="A33">
        <v>380054</v>
      </c>
      <c r="B33" t="s">
        <v>45</v>
      </c>
      <c r="C33" t="s">
        <v>46</v>
      </c>
    </row>
    <row r="34" spans="1:3" x14ac:dyDescent="0.35">
      <c r="A34">
        <v>302001</v>
      </c>
      <c r="B34" t="s">
        <v>47</v>
      </c>
      <c r="C34" t="s">
        <v>48</v>
      </c>
    </row>
    <row r="35" spans="1:3" x14ac:dyDescent="0.35">
      <c r="A35">
        <v>302002</v>
      </c>
      <c r="B35" t="s">
        <v>47</v>
      </c>
      <c r="C35" t="s">
        <v>48</v>
      </c>
    </row>
    <row r="36" spans="1:3" x14ac:dyDescent="0.35">
      <c r="A36">
        <v>226001</v>
      </c>
      <c r="B36" t="s">
        <v>49</v>
      </c>
      <c r="C36" t="s">
        <v>50</v>
      </c>
    </row>
    <row r="37" spans="1:3" x14ac:dyDescent="0.35">
      <c r="A37">
        <v>226002</v>
      </c>
      <c r="B37" t="s">
        <v>49</v>
      </c>
      <c r="C37" t="s">
        <v>50</v>
      </c>
    </row>
    <row r="38" spans="1:3" x14ac:dyDescent="0.35">
      <c r="A38">
        <v>208001</v>
      </c>
      <c r="B38" t="s">
        <v>51</v>
      </c>
      <c r="C38" t="s">
        <v>50</v>
      </c>
    </row>
    <row r="39" spans="1:3" x14ac:dyDescent="0.35">
      <c r="A39">
        <v>282001</v>
      </c>
      <c r="B39" t="s">
        <v>52</v>
      </c>
      <c r="C39" t="s">
        <v>50</v>
      </c>
    </row>
    <row r="40" spans="1:3" x14ac:dyDescent="0.35">
      <c r="A40">
        <v>221001</v>
      </c>
      <c r="B40" t="s">
        <v>53</v>
      </c>
      <c r="C40" t="s">
        <v>50</v>
      </c>
    </row>
    <row r="41" spans="1:3" x14ac:dyDescent="0.35">
      <c r="A41">
        <v>800001</v>
      </c>
      <c r="B41" t="s">
        <v>54</v>
      </c>
      <c r="C41" t="s">
        <v>55</v>
      </c>
    </row>
    <row r="42" spans="1:3" x14ac:dyDescent="0.35">
      <c r="A42">
        <v>800002</v>
      </c>
      <c r="B42" t="s">
        <v>54</v>
      </c>
      <c r="C42" t="s">
        <v>55</v>
      </c>
    </row>
    <row r="43" spans="1:3" x14ac:dyDescent="0.35">
      <c r="A43">
        <v>751001</v>
      </c>
      <c r="B43" t="s">
        <v>56</v>
      </c>
      <c r="C43" t="s">
        <v>57</v>
      </c>
    </row>
    <row r="44" spans="1:3" x14ac:dyDescent="0.35">
      <c r="A44">
        <v>751002</v>
      </c>
      <c r="B44" t="s">
        <v>56</v>
      </c>
      <c r="C44" t="s">
        <v>57</v>
      </c>
    </row>
    <row r="45" spans="1:3" x14ac:dyDescent="0.35">
      <c r="A45">
        <v>440001</v>
      </c>
      <c r="B45" t="s">
        <v>58</v>
      </c>
      <c r="C45" t="s">
        <v>35</v>
      </c>
    </row>
    <row r="46" spans="1:3" x14ac:dyDescent="0.35">
      <c r="A46">
        <v>440002</v>
      </c>
      <c r="B46" t="s">
        <v>58</v>
      </c>
      <c r="C46" t="s">
        <v>35</v>
      </c>
    </row>
    <row r="47" spans="1:3" x14ac:dyDescent="0.35">
      <c r="A47">
        <v>452001</v>
      </c>
      <c r="B47" t="s">
        <v>59</v>
      </c>
      <c r="C47" t="s">
        <v>60</v>
      </c>
    </row>
    <row r="48" spans="1:3" x14ac:dyDescent="0.35">
      <c r="A48">
        <v>462001</v>
      </c>
      <c r="B48" t="s">
        <v>61</v>
      </c>
      <c r="C48" t="s">
        <v>60</v>
      </c>
    </row>
    <row r="49" spans="1:3" x14ac:dyDescent="0.35">
      <c r="A49">
        <v>160001</v>
      </c>
      <c r="B49" t="s">
        <v>62</v>
      </c>
      <c r="C49" t="s">
        <v>62</v>
      </c>
    </row>
    <row r="50" spans="1:3" x14ac:dyDescent="0.35">
      <c r="A50">
        <v>160002</v>
      </c>
      <c r="B50" t="s">
        <v>62</v>
      </c>
      <c r="C50" t="s">
        <v>62</v>
      </c>
    </row>
    <row r="51" spans="1:3" x14ac:dyDescent="0.35">
      <c r="A51">
        <v>141001</v>
      </c>
      <c r="B51" t="s">
        <v>63</v>
      </c>
      <c r="C51" t="s">
        <v>64</v>
      </c>
    </row>
    <row r="52" spans="1:3" x14ac:dyDescent="0.35">
      <c r="A52">
        <v>143001</v>
      </c>
      <c r="B52" t="s">
        <v>65</v>
      </c>
      <c r="C52" t="s">
        <v>64</v>
      </c>
    </row>
    <row r="53" spans="1:3" x14ac:dyDescent="0.35">
      <c r="A53">
        <v>248001</v>
      </c>
      <c r="B53" t="s">
        <v>66</v>
      </c>
      <c r="C53" t="s">
        <v>67</v>
      </c>
    </row>
    <row r="54" spans="1:3" x14ac:dyDescent="0.35">
      <c r="A54">
        <v>781001</v>
      </c>
      <c r="B54" t="s">
        <v>68</v>
      </c>
      <c r="C54" t="s">
        <v>69</v>
      </c>
    </row>
    <row r="55" spans="1:3" x14ac:dyDescent="0.35">
      <c r="A55">
        <v>682001</v>
      </c>
      <c r="B55" t="s">
        <v>70</v>
      </c>
      <c r="C55" t="s">
        <v>71</v>
      </c>
    </row>
    <row r="56" spans="1:3" x14ac:dyDescent="0.35">
      <c r="A56">
        <v>682002</v>
      </c>
      <c r="B56" t="s">
        <v>70</v>
      </c>
      <c r="C56" t="s">
        <v>71</v>
      </c>
    </row>
    <row r="57" spans="1:3" x14ac:dyDescent="0.35">
      <c r="A57">
        <v>695001</v>
      </c>
      <c r="B57" t="s">
        <v>72</v>
      </c>
      <c r="C57" t="s">
        <v>71</v>
      </c>
    </row>
    <row r="58" spans="1:3" x14ac:dyDescent="0.35">
      <c r="A58">
        <v>530001</v>
      </c>
      <c r="B58" t="s">
        <v>73</v>
      </c>
      <c r="C58" t="s">
        <v>74</v>
      </c>
    </row>
    <row r="59" spans="1:3" x14ac:dyDescent="0.35">
      <c r="A59">
        <v>520001</v>
      </c>
      <c r="B59" t="s">
        <v>75</v>
      </c>
      <c r="C59" t="s">
        <v>74</v>
      </c>
    </row>
    <row r="60" spans="1:3" x14ac:dyDescent="0.35">
      <c r="A60">
        <v>641001</v>
      </c>
      <c r="B60" t="s">
        <v>76</v>
      </c>
      <c r="C60" t="s">
        <v>39</v>
      </c>
    </row>
    <row r="61" spans="1:3" x14ac:dyDescent="0.35">
      <c r="A61">
        <v>625001</v>
      </c>
      <c r="B61" t="s">
        <v>77</v>
      </c>
      <c r="C61" t="s">
        <v>39</v>
      </c>
    </row>
    <row r="62" spans="1:3" x14ac:dyDescent="0.35">
      <c r="A62">
        <v>395001</v>
      </c>
      <c r="B62" t="s">
        <v>78</v>
      </c>
      <c r="C62" t="s">
        <v>46</v>
      </c>
    </row>
    <row r="63" spans="1:3" x14ac:dyDescent="0.35">
      <c r="A63">
        <v>390001</v>
      </c>
      <c r="B63" t="s">
        <v>79</v>
      </c>
      <c r="C63" t="s">
        <v>46</v>
      </c>
    </row>
    <row r="64" spans="1:3" x14ac:dyDescent="0.35">
      <c r="A64">
        <v>834001</v>
      </c>
      <c r="B64" t="s">
        <v>80</v>
      </c>
      <c r="C64" t="s">
        <v>81</v>
      </c>
    </row>
    <row r="65" spans="1:3" x14ac:dyDescent="0.35">
      <c r="A65">
        <v>831001</v>
      </c>
      <c r="B65" t="s">
        <v>82</v>
      </c>
      <c r="C65" t="s">
        <v>81</v>
      </c>
    </row>
    <row r="66" spans="1:3" x14ac:dyDescent="0.35">
      <c r="A66">
        <v>700091</v>
      </c>
      <c r="B66" t="s">
        <v>83</v>
      </c>
      <c r="C66" t="s">
        <v>37</v>
      </c>
    </row>
    <row r="67" spans="1:3" x14ac:dyDescent="0.35">
      <c r="A67">
        <v>201301</v>
      </c>
      <c r="B67" t="s">
        <v>84</v>
      </c>
      <c r="C67" t="s">
        <v>50</v>
      </c>
    </row>
    <row r="68" spans="1:3" x14ac:dyDescent="0.35">
      <c r="A68">
        <v>122001</v>
      </c>
      <c r="B68" t="s">
        <v>85</v>
      </c>
      <c r="C68" t="s">
        <v>86</v>
      </c>
    </row>
    <row r="69" spans="1:3" x14ac:dyDescent="0.35">
      <c r="A69">
        <v>131001</v>
      </c>
      <c r="B69" t="s">
        <v>87</v>
      </c>
      <c r="C69" t="s">
        <v>86</v>
      </c>
    </row>
    <row r="70" spans="1:3" x14ac:dyDescent="0.35">
      <c r="A70">
        <v>560100</v>
      </c>
      <c r="B70" t="s">
        <v>88</v>
      </c>
      <c r="C70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04715-FC8E-45A5-B864-25F798DE656B}">
  <sheetPr>
    <tabColor rgb="FF1A2E44"/>
  </sheetPr>
  <dimension ref="A1:F38"/>
  <sheetViews>
    <sheetView tabSelected="1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43.6328125" customWidth="1"/>
    <col min="2" max="2" width="38.1796875" customWidth="1"/>
    <col min="3" max="3" width="35.453125" customWidth="1"/>
    <col min="4" max="6" width="18.1796875" customWidth="1"/>
  </cols>
  <sheetData>
    <row r="1" spans="1:6" ht="36" customHeight="1" x14ac:dyDescent="0.55000000000000004">
      <c r="A1" s="2" t="s">
        <v>2</v>
      </c>
      <c r="B1" s="3"/>
      <c r="C1" s="3"/>
      <c r="D1" s="3"/>
      <c r="E1" s="3"/>
      <c r="F1" s="3"/>
    </row>
    <row r="2" spans="1:6" ht="22" customHeight="1" x14ac:dyDescent="0.35">
      <c r="A2" s="4" t="s">
        <v>3</v>
      </c>
      <c r="B2" s="5"/>
      <c r="C2" s="5"/>
      <c r="D2" s="5"/>
      <c r="E2" s="5"/>
      <c r="F2" s="5"/>
    </row>
    <row r="3" spans="1:6" ht="10" customHeight="1" x14ac:dyDescent="0.35"/>
    <row r="4" spans="1:6" ht="24" customHeight="1" x14ac:dyDescent="0.35">
      <c r="A4" s="7" t="s">
        <v>4</v>
      </c>
      <c r="B4" s="8"/>
      <c r="C4" s="8"/>
      <c r="D4" s="8"/>
      <c r="E4" s="8"/>
      <c r="F4" s="8"/>
    </row>
    <row r="5" spans="1:6" ht="22" customHeight="1" x14ac:dyDescent="0.35">
      <c r="A5" s="9" t="s">
        <v>5</v>
      </c>
      <c r="B5" s="10"/>
      <c r="C5" s="11" t="s">
        <v>6</v>
      </c>
    </row>
    <row r="6" spans="1:6" ht="22" customHeight="1" x14ac:dyDescent="0.35">
      <c r="A6" s="9" t="s">
        <v>7</v>
      </c>
      <c r="B6" s="12">
        <f ca="1">TODAY()</f>
        <v>46172</v>
      </c>
      <c r="C6" s="11" t="s">
        <v>8</v>
      </c>
    </row>
    <row r="7" spans="1:6" ht="22" customHeight="1" x14ac:dyDescent="0.35">
      <c r="A7" s="9" t="s">
        <v>91</v>
      </c>
      <c r="B7" s="32">
        <f ca="1">NOW()</f>
        <v>46172.928414004629</v>
      </c>
      <c r="C7" s="11" t="s">
        <v>92</v>
      </c>
    </row>
    <row r="8" spans="1:6" ht="22" customHeight="1" x14ac:dyDescent="0.35">
      <c r="A8" s="9" t="s">
        <v>9</v>
      </c>
      <c r="B8" s="14"/>
      <c r="C8" s="11" t="s">
        <v>10</v>
      </c>
    </row>
    <row r="9" spans="1:6" ht="22" customHeight="1" x14ac:dyDescent="0.35">
      <c r="A9" s="13" t="s">
        <v>11</v>
      </c>
      <c r="B9" s="14"/>
      <c r="C9" s="15" t="s">
        <v>12</v>
      </c>
    </row>
    <row r="10" spans="1:6" ht="22" customHeight="1" x14ac:dyDescent="0.35">
      <c r="A10" s="13" t="s">
        <v>89</v>
      </c>
      <c r="B10" s="14"/>
      <c r="C10" s="15" t="s">
        <v>90</v>
      </c>
    </row>
    <row r="11" spans="1:6" ht="22" customHeight="1" x14ac:dyDescent="0.35">
      <c r="A11" s="13" t="s">
        <v>0</v>
      </c>
      <c r="B11" s="17" t="str">
        <f>IFERROR(VLOOKUP(TEXT(B10,"000000"),ZipData!$A:$B,2,0),IF(B10="","","PIN not found — enter city manually"))</f>
        <v/>
      </c>
      <c r="C11" s="15" t="s">
        <v>13</v>
      </c>
    </row>
    <row r="12" spans="1:6" ht="22" customHeight="1" x14ac:dyDescent="0.35">
      <c r="A12" s="13" t="s">
        <v>1</v>
      </c>
      <c r="B12" s="16" t="str">
        <f>IFERROR(VLOOKUP(TEXT(B10,"000000"),ZipData!$A:$C,3,0),IF(B10="","","Unknown"))</f>
        <v/>
      </c>
      <c r="C12" s="15" t="s">
        <v>13</v>
      </c>
    </row>
    <row r="13" spans="1:6" ht="10" customHeight="1" x14ac:dyDescent="0.35"/>
    <row r="14" spans="1:6" ht="24" customHeight="1" x14ac:dyDescent="0.35">
      <c r="A14" s="18" t="s">
        <v>14</v>
      </c>
      <c r="B14" s="8"/>
      <c r="C14" s="8"/>
      <c r="D14" s="8"/>
      <c r="E14" s="8"/>
      <c r="F14" s="8"/>
    </row>
    <row r="15" spans="1:6" ht="22" customHeight="1" x14ac:dyDescent="0.35">
      <c r="A15" s="13" t="s">
        <v>15</v>
      </c>
      <c r="B15" s="14"/>
      <c r="C15" s="15" t="s">
        <v>12</v>
      </c>
    </row>
    <row r="16" spans="1:6" ht="22" customHeight="1" x14ac:dyDescent="0.35">
      <c r="A16" s="13" t="s">
        <v>16</v>
      </c>
      <c r="B16" s="14"/>
      <c r="C16" s="15" t="s">
        <v>12</v>
      </c>
    </row>
    <row r="17" spans="1:6" ht="22" customHeight="1" x14ac:dyDescent="0.35">
      <c r="A17" s="13" t="s">
        <v>17</v>
      </c>
      <c r="B17" s="14"/>
      <c r="C17" s="15" t="s">
        <v>18</v>
      </c>
    </row>
    <row r="18" spans="1:6" ht="22" customHeight="1" x14ac:dyDescent="0.35">
      <c r="A18" s="13" t="s">
        <v>19</v>
      </c>
      <c r="B18" s="14"/>
      <c r="C18" s="15" t="s">
        <v>12</v>
      </c>
    </row>
    <row r="19" spans="1:6" ht="22" customHeight="1" x14ac:dyDescent="0.35">
      <c r="A19" s="13" t="s">
        <v>20</v>
      </c>
      <c r="B19" s="10"/>
      <c r="C19" s="15" t="s">
        <v>21</v>
      </c>
    </row>
    <row r="20" spans="1:6" ht="10" customHeight="1" x14ac:dyDescent="0.35"/>
    <row r="21" spans="1:6" ht="24" customHeight="1" x14ac:dyDescent="0.35">
      <c r="A21" s="18" t="s">
        <v>22</v>
      </c>
      <c r="B21" s="8"/>
      <c r="C21" s="8"/>
      <c r="D21" s="8"/>
      <c r="E21" s="8"/>
      <c r="F21" s="8"/>
    </row>
    <row r="22" spans="1:6" ht="20" customHeight="1" x14ac:dyDescent="0.35">
      <c r="A22" s="19" t="s">
        <v>23</v>
      </c>
    </row>
    <row r="23" spans="1:6" ht="30" customHeight="1" x14ac:dyDescent="0.35">
      <c r="A23" s="23" t="s">
        <v>24</v>
      </c>
      <c r="B23" s="20"/>
      <c r="C23" s="20"/>
      <c r="D23" s="20"/>
      <c r="E23" s="20"/>
      <c r="F23" s="26"/>
    </row>
    <row r="24" spans="1:6" ht="30" customHeight="1" x14ac:dyDescent="0.35">
      <c r="A24" s="24"/>
      <c r="B24" s="21"/>
      <c r="C24" s="21"/>
      <c r="D24" s="21"/>
      <c r="E24" s="21"/>
      <c r="F24" s="27"/>
    </row>
    <row r="25" spans="1:6" ht="30" customHeight="1" x14ac:dyDescent="0.35">
      <c r="A25" s="24"/>
      <c r="B25" s="21"/>
      <c r="C25" s="21"/>
      <c r="D25" s="21"/>
      <c r="E25" s="21"/>
      <c r="F25" s="27"/>
    </row>
    <row r="26" spans="1:6" ht="30" customHeight="1" x14ac:dyDescent="0.35">
      <c r="A26" s="24"/>
      <c r="B26" s="21"/>
      <c r="C26" s="21"/>
      <c r="D26" s="21"/>
      <c r="E26" s="21"/>
      <c r="F26" s="27"/>
    </row>
    <row r="27" spans="1:6" ht="30" customHeight="1" x14ac:dyDescent="0.35">
      <c r="A27" s="24"/>
      <c r="B27" s="21"/>
      <c r="C27" s="21"/>
      <c r="D27" s="21"/>
      <c r="E27" s="21"/>
      <c r="F27" s="27"/>
    </row>
    <row r="28" spans="1:6" ht="30" customHeight="1" x14ac:dyDescent="0.35">
      <c r="A28" s="24"/>
      <c r="B28" s="21"/>
      <c r="C28" s="21"/>
      <c r="D28" s="21"/>
      <c r="E28" s="21"/>
      <c r="F28" s="27"/>
    </row>
    <row r="29" spans="1:6" ht="30" customHeight="1" x14ac:dyDescent="0.35">
      <c r="A29" s="24"/>
      <c r="B29" s="21"/>
      <c r="C29" s="21"/>
      <c r="D29" s="21"/>
      <c r="E29" s="21"/>
      <c r="F29" s="27"/>
    </row>
    <row r="30" spans="1:6" ht="30" customHeight="1" x14ac:dyDescent="0.35">
      <c r="A30" s="24"/>
      <c r="B30" s="21"/>
      <c r="C30" s="21"/>
      <c r="D30" s="21"/>
      <c r="E30" s="21"/>
      <c r="F30" s="27"/>
    </row>
    <row r="31" spans="1:6" ht="30" customHeight="1" x14ac:dyDescent="0.35">
      <c r="A31" s="24"/>
      <c r="B31" s="21"/>
      <c r="C31" s="21"/>
      <c r="D31" s="21"/>
      <c r="E31" s="21"/>
      <c r="F31" s="27"/>
    </row>
    <row r="32" spans="1:6" ht="30" customHeight="1" x14ac:dyDescent="0.35">
      <c r="A32" s="25"/>
      <c r="B32" s="22"/>
      <c r="C32" s="22"/>
      <c r="D32" s="22"/>
      <c r="E32" s="22"/>
      <c r="F32" s="28"/>
    </row>
    <row r="33" spans="1:6" ht="10" customHeight="1" x14ac:dyDescent="0.35"/>
    <row r="34" spans="1:6" ht="24" customHeight="1" x14ac:dyDescent="0.35">
      <c r="A34" s="6" t="s">
        <v>25</v>
      </c>
      <c r="B34" s="8"/>
      <c r="C34" s="8"/>
      <c r="D34" s="8"/>
      <c r="E34" s="8"/>
      <c r="F34" s="8"/>
    </row>
    <row r="35" spans="1:6" ht="24" customHeight="1" thickBot="1" x14ac:dyDescent="0.4">
      <c r="A35" s="9" t="s">
        <v>26</v>
      </c>
      <c r="B35" s="14"/>
      <c r="C35" s="11" t="s">
        <v>27</v>
      </c>
    </row>
    <row r="36" spans="1:6" ht="24" customHeight="1" thickBot="1" x14ac:dyDescent="0.4">
      <c r="A36" s="9" t="s">
        <v>28</v>
      </c>
      <c r="B36" s="29" t="str">
        <f>IF(AND(B5&lt;&gt;"",B8&lt;&gt;"",B9&lt;&gt;"",B10&lt;&gt;"",B15&lt;&gt;"",B16&lt;&gt;"",B19&lt;&gt;"",B35="Yes"),"✅ Complete — Thank you!","⚠️ Please complete all required fields")</f>
        <v>⚠️ Please complete all required fields</v>
      </c>
    </row>
    <row r="37" spans="1:6" ht="8" customHeight="1" x14ac:dyDescent="0.35"/>
    <row r="38" spans="1:6" ht="28" customHeight="1" x14ac:dyDescent="0.35">
      <c r="A38" s="30" t="s">
        <v>29</v>
      </c>
      <c r="B38" s="31"/>
      <c r="C38" s="31"/>
      <c r="D38" s="31"/>
      <c r="E38" s="31"/>
      <c r="F38" s="31"/>
    </row>
  </sheetData>
  <mergeCells count="1">
    <mergeCell ref="A23:F32"/>
  </mergeCells>
  <conditionalFormatting sqref="B19">
    <cfRule type="colorScale" priority="1">
      <colorScale>
        <cfvo type="num" val="1"/>
        <cfvo type="num" val="5"/>
        <cfvo type="num" val="10"/>
        <color rgb="FF70AD47"/>
        <color rgb="FFFFEB3B"/>
        <color rgb="FFE53935"/>
      </colorScale>
    </cfRule>
  </conditionalFormatting>
  <conditionalFormatting sqref="B36">
    <cfRule type="containsText" dxfId="1" priority="2" operator="containsText" text="Complete">
      <formula>NOT(ISERROR(SEARCH("Complete",B36)))</formula>
    </cfRule>
  </conditionalFormatting>
  <conditionalFormatting sqref="B36">
    <cfRule type="containsText" dxfId="0" priority="3" operator="containsText" text="complete all">
      <formula>NOT(ISERROR(SEARCH("complete all",B36)))</formula>
    </cfRule>
  </conditionalFormatting>
  <dataValidations count="10">
    <dataValidation type="textLength" errorStyle="warning" allowBlank="1" showInputMessage="1" showErrorMessage="1" errorTitle="Check ID" error="Participant IDs are typically 2–10 characters." promptTitle="Participant ID" prompt="Enter your assigned ID, e.g. P-001" sqref="B5" xr:uid="{B60D0459-FB49-46C3-9DA0-DF97D2D49B27}">
      <formula1>2</formula1>
      <formula2>10</formula2>
    </dataValidation>
    <dataValidation type="whole" allowBlank="1" showInputMessage="1" showErrorMessage="1" errorTitle="Invalid Entry" error="Enter a number between 18 and 100." promptTitle="Enter a number" prompt="Enter your age in whole years (18–100)." sqref="B8" xr:uid="{CA38824B-1BC9-4D19-BE0F-70601C504EAB}">
      <formula1>18</formula1>
      <formula2>100</formula2>
    </dataValidation>
    <dataValidation type="list" allowBlank="1" showInputMessage="1" showErrorMessage="1" errorTitle="Invalid Entry" error="Please select from the list." promptTitle="Gender Identity" prompt="Choose the option that best describes your gender identity." sqref="B9" xr:uid="{431A4878-AF98-48A7-A68B-5CFFF31665F0}">
      <formula1>"Man,Woman,Non-binary / Gender non-conforming,Genderqueer,Transgender man,Transgender woman,Two-spirit,Prefer not to say,Prefer to self-describe"</formula1>
    </dataValidation>
    <dataValidation type="list" allowBlank="1" showInputMessage="1" showErrorMessage="1" errorTitle="Invalid Entry" error="Please select from the list." promptTitle="Trauma History" prompt="Have you experienced a traumatic event?" sqref="B15" xr:uid="{08C26D5B-5D9C-4EC4-B4A8-45EF199027E6}">
      <formula1>"Yes,No,Prefer not to say"</formula1>
    </dataValidation>
    <dataValidation type="list" allowBlank="1" showInputMessage="1" showErrorMessage="1" errorTitle="Invalid Entry" error="Please select from the list." promptTitle="Trauma Type" prompt="Select the type that best describes your experience." sqref="B16" xr:uid="{2020EBA0-10AE-4674-9383-C59F0D94055F}">
      <formula1>_xlfn._LONGTEXT("Childhood abuse or neglect,Domestic or intimate partner violence,Sexual assault or abuse,Physical assault,Accident or injury,Natural disaster,War or combat,Witnessing violence,Medical trauma,Grief and loss,Systemic / racial trauma,Complex / ongoing trauma",",Other")</formula1>
    </dataValidation>
    <dataValidation type="whole" allowBlank="1" showInputMessage="1" showErrorMessage="1" errorTitle="Invalid Entry" error="Enter a number between 1900 and 2026." promptTitle="Enter a number" prompt="Enter the approximate year the event occurred." sqref="B17" xr:uid="{E1E43E5F-A339-4B3D-A268-B792DA2B6A88}">
      <formula1>1900</formula1>
      <formula2>2026</formula2>
    </dataValidation>
    <dataValidation type="list" allowBlank="1" showInputMessage="1" showErrorMessage="1" errorTitle="Invalid Entry" error="Please select from the list." promptTitle="Professional Support" prompt="Have you sought professional mental health support?" sqref="B18" xr:uid="{FCCBF74D-FA6C-44CD-90B7-52005A3E6147}">
      <formula1>"Yes — currently receiving support,Yes — previously received support,No — but I am considering it,No — I have not sought support,Prefer not to say"</formula1>
    </dataValidation>
    <dataValidation type="whole" allowBlank="1" showInputMessage="1" showErrorMessage="1" errorTitle="Invalid Entry" error="Enter a number between 1 and 10." promptTitle="Enter a number" prompt="Rate your current distress: 1 = None, 10 = Extreme." sqref="B19" xr:uid="{DFE4A414-E5DF-4C82-A368-075D9D5C2C0E}">
      <formula1>1</formula1>
      <formula2>10</formula2>
    </dataValidation>
    <dataValidation type="list" allowBlank="1" showInputMessage="1" showErrorMessage="1" errorTitle="Invalid Entry" error="Please select from the list." promptTitle="Research Consent" prompt="Do you consent to anonymous use of your responses?" sqref="B35" xr:uid="{5A5298D5-E3DA-49B5-B1D0-21863C818CC0}">
      <formula1>"Yes,No"</formula1>
    </dataValidation>
    <dataValidation type="textLength" errorStyle="warning" allowBlank="1" showInputMessage="1" showErrorMessage="1" errorTitle="Check PIN Code" error="India PIN codes are 6 digits. Please check your entry." promptTitle="PIN Code" prompt="Enter your 6-digit India PIN code." sqref="B10" xr:uid="{C3A97B04-BBE3-4DF0-A57C-3BC8D7874BC5}">
      <formula1>6</formula1>
      <formula2>6</formula2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ZipData</vt:lpstr>
      <vt:lpstr>Survey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Santhosa Samsara</dc:creator>
  <cp:lastModifiedBy>Santhosa Samsara</cp:lastModifiedBy>
  <dcterms:created xsi:type="dcterms:W3CDTF">2026-05-30T16:39:01Z</dcterms:created>
  <dcterms:modified xsi:type="dcterms:W3CDTF">2026-05-30T16:48:44Z</dcterms:modified>
</cp:coreProperties>
</file>